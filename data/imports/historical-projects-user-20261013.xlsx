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官方工程案例" sheetId="1" r:id="rId1"/>
    <sheet name="使用说明" sheetId="2" r:id="rId2"/>
    <sheet name="待补充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<sst xmlns="http://schemas.openxmlformats.org/spreadsheetml/2006/main" count="149" uniqueCount="139">
  <si>
    <t>案例ID</t>
  </si>
  <si>
    <t>地点</t>
  </si>
  <si>
    <t>项目名称</t>
  </si>
  <si>
    <t>公告日期</t>
  </si>
  <si>
    <t>工程类型</t>
  </si>
  <si>
    <t>金额状态</t>
  </si>
  <si>
    <t>改造范围面积㎡</t>
  </si>
  <si>
    <t>道路改造面积㎡</t>
  </si>
  <si>
    <t>管线长度m</t>
  </si>
  <si>
    <t>总投资/估算万元</t>
  </si>
  <si>
    <t>建安工程估算万元</t>
  </si>
  <si>
    <t>最高限价/招标额元</t>
  </si>
  <si>
    <t>中标/候选报价元</t>
  </si>
  <si>
    <t>工程量与范围</t>
  </si>
  <si>
    <t>招标/工程量来源URL</t>
  </si>
  <si>
    <t>中标/辅助来源URL</t>
  </si>
  <si>
    <t>口径与限制</t>
  </si>
  <si>
    <t>可比单方元/㎡</t>
  </si>
  <si>
    <t>可比金额口径</t>
  </si>
  <si>
    <t>ZJ-001</t>
  </si>
  <si>
    <t>丽水·遂昌</t>
  </si>
  <si>
    <t>妙高街道城镇老旧小区改造（一期）腾龙一期区块</t>
  </si>
  <si>
    <t>2026-08-26</t>
  </si>
  <si>
    <t>道路+排水+绿化</t>
  </si>
  <si>
    <t>正式中标</t>
  </si>
  <si>
    <t>改造范围约92815㎡；道路32545㎡；DN315/400/500/630主管约11006m；含检查井、化粪池、绿化等</t>
  </si>
  <si>
    <t>https://dzjy.lssggzy.lishui.gov.cn/lsweb/jyxx/002001/002001003/20260729/b5062fd4-7696-406b-86ae-1ee009540d67.html</t>
  </si>
  <si>
    <t>https://dzjy.lssggzy.lishui.gov.cn/lsweb/jyxx/002001/002001008/20260826/bfb0b152-9abc-4f0b-a535-522a46168991.html</t>
  </si>
  <si>
    <t>中标单方金额分母为全部改造范围面积，并非道路工程单价</t>
  </si>
  <si>
    <t>ZJ-002</t>
  </si>
  <si>
    <t>丽水·莲都</t>
  </si>
  <si>
    <t>东升北区1—3栋、南区13栋及周边老旧小区改造</t>
  </si>
  <si>
    <t>2025-12-30</t>
  </si>
  <si>
    <t>道路+管网+公厕+立面+风雨长廊</t>
  </si>
  <si>
    <t>道路改造、地下管网、公厕、立面、车行道、风雨长廊等</t>
  </si>
  <si>
    <t>https://dzjy.lssggzy.lishui.gov.cn/lsweb/jyxx/002001/002001003/20251205/8f5c5ffb-6738-4411-bf65-c8a3696f9e1d.html</t>
  </si>
  <si>
    <t>https://dzjy.lssggzy.lishui.gov.cn/lsweb/jyxx/002001/002001008/20251230/ae7f6484-bbd6-4db7-9b83-412b3e33d580.html</t>
  </si>
  <si>
    <t>缺正式改造面积，暂不能折算单方</t>
  </si>
  <si>
    <t>ZJ-003</t>
  </si>
  <si>
    <t>东升南区及周边老旧小区改造</t>
  </si>
  <si>
    <t>2025-09-05</t>
  </si>
  <si>
    <t>道路+雨污水+给水+泵站</t>
  </si>
  <si>
    <t>招标公告工程费</t>
  </si>
  <si>
    <t>道路修复约13477.831㎡；各类雨污废水及给水管道合计4138m；泵站4座</t>
  </si>
  <si>
    <t>https://dzjy.lssggzy.lishui.gov.cn/lsweb/jyxx/002001/002001003/20250905/6331073c-1e49-45db-bc52-0e4ce18c18cc.html</t>
  </si>
  <si>
    <t>831.44万元为暂定工程费/最高限价口径，非中标价；道路面积不是整个改造范围面积</t>
  </si>
  <si>
    <t>ZJ-004</t>
  </si>
  <si>
    <t>妙高街道城镇老旧小区改造（一期）叶坦区块</t>
  </si>
  <si>
    <t>2026-06-30</t>
  </si>
  <si>
    <t>道路+排水+附属设施</t>
  </si>
  <si>
    <t>招标建安控制价</t>
  </si>
  <si>
    <t>范围53021㎡；道路改造约14408㎡（含台阶）；主管5220m、出户管及立管3872m；护栏、围墙、挡墙等</t>
  </si>
  <si>
    <t>https://dzjy.lssggzy.lishui.gov.cn/lsweb/jyxx/002001/002001003/20260630/3513c558-b45f-4855-8cb1-7a058fcf1f67.html</t>
  </si>
  <si>
    <t>建安控制价773.2717万元，并非中标价</t>
  </si>
  <si>
    <t>ZJ-005</t>
  </si>
  <si>
    <t>妙高街道城镇老旧小区改造（一期）渡船头区块</t>
  </si>
  <si>
    <t>2025-11-26</t>
  </si>
  <si>
    <t>排水+道路+路灯+监控</t>
  </si>
  <si>
    <t>改造范围约63381㎡；道路约19490㎡；雨污管约6230m；含路灯与监控</t>
  </si>
  <si>
    <t>https://dzjy.lssggzy.lishui.gov.cn/lsweb/jyxx/002001/002001004/20251126/70199b46-37a3-42df-b836-7f2ac2085958.html</t>
  </si>
  <si>
    <t>https://www.zhuangxiuzhaobiao.cn/news-7ad9a6ab0ab301407926e4d7aa5e5c9c/</t>
  </si>
  <si>
    <t>招标控制价来自官方补充公告；面积工程量来自招标公告转载，仍待对应原始公告交叉核实</t>
  </si>
  <si>
    <t>ZJ-006</t>
  </si>
  <si>
    <t>金山新村及周边老旧小区改造</t>
  </si>
  <si>
    <t>2023-05-25</t>
  </si>
  <si>
    <t>道路+排水+给水+绿化+路灯</t>
  </si>
  <si>
    <t>最高投标限价</t>
  </si>
  <si>
    <t>改造范围35684㎡，涉及18幢；道路、排水、给水、绿化等</t>
  </si>
  <si>
    <t>https://dzjy.lssggzy.lishui.gov.cn/ldweb/jyxx/002001/002001003/20230525/d07bb8fe-6729-4cc4-a716-8cb6cd192442.html</t>
  </si>
  <si>
    <t>只确认最高投标限价；投标记录不可误作中标合同</t>
  </si>
  <si>
    <t>ZJ-007</t>
  </si>
  <si>
    <t>正达阳光城老旧小区改造</t>
  </si>
  <si>
    <t>2025-09-12</t>
  </si>
  <si>
    <t>综合老旧小区改造</t>
  </si>
  <si>
    <t>中标候选人报价</t>
  </si>
  <si>
    <t>公开候选人投标报价；拟包括道路平整、排水、交通、绿化及公共活动空间等</t>
  </si>
  <si>
    <t>https://dzjy.lssggzy.lishui.gov.cn/ldweb/jyxx/002001/002001007/20250912/a2634e00-a2f2-4967-bd0e-01c7305caf8e.html</t>
  </si>
  <si>
    <t>https://zjjcmspublic.oss-cn-hangzhou-zwynet-d01-a.internet.cloud.zj.gov.cn/jcms_files/jcms1/web3675/site/attach/0/4119842bc4694ffe85516b05e491ad63.pdf</t>
  </si>
  <si>
    <t>计划表列示3000万元为实施项目投资计划，不能直接当成该标段总投资；1497.2288万元仅为预中标价。</t>
  </si>
  <si>
    <t>历史旧改工程造价库｜使用说明</t>
  </si>
  <si>
    <t>说明</t>
  </si>
  <si>
    <t>数据截止</t>
  </si>
  <si>
    <t>截至2026-10-13；本表为初次公开检索样本，不代表浙江省全部项目</t>
  </si>
  <si>
    <t>数据来源</t>
  </si>
  <si>
    <t>主要为浙江省地方公共资源交易中心原始公告；省交易平台统一门户需跳转地方原文。</t>
  </si>
  <si>
    <t>金额口径</t>
  </si>
  <si>
    <t>总投资、工程概算/建安估算、招标控制价、最终中标价、候选人报价分开。绝不能混用。</t>
  </si>
  <si>
    <t>单方公式</t>
  </si>
  <si>
    <t>可比单方(元/㎡) = 正式中标总金额(元) ÷ 项目改造范围面积(㎡)；缺正式中标时只计算招标限价单方并标记。</t>
  </si>
  <si>
    <t>分母限制</t>
  </si>
  <si>
    <t>改造范围面积包含道路、绿化、排水等多项工程，不是建筑面积/屋面面积/道路实际施工面积。</t>
  </si>
  <si>
    <t>最有价值案例</t>
  </si>
  <si>
    <t>ZJ-001：腾龙一期同时具有改造范围、道路和管网等工程量，以及正式中标金额。</t>
  </si>
  <si>
    <t>对C01的用途</t>
  </si>
  <si>
    <t>匹配道路、管网等工程类型，对项目总体费用做粗略合理性检验；不能当作管道或立面工程单位造价。</t>
  </si>
  <si>
    <t>对C02的用途</t>
  </si>
  <si>
    <t>该批以道路/排水类为主，不能为加装电梯单台、无障碍点单点工程费提供直接报价；需另查专项标。</t>
  </si>
  <si>
    <t>对C03的用途</t>
  </si>
  <si>
    <t>施工合同通常不含后续长期运维。年维保成本需另找物业/设施运维采购合同，不可由施工价直接推出。</t>
  </si>
  <si>
    <t>单方注意</t>
  </si>
  <si>
    <t>控制价单方和正式中标价单方不应直接混在一起求均值；需按状态筛选。</t>
  </si>
  <si>
    <t>案例年份</t>
  </si>
  <si>
    <t>2023-2026报价跨年度，未来比较前需考虑价格时期、地区和工程范围差异。</t>
  </si>
  <si>
    <t>工程量清单</t>
  </si>
  <si>
    <t>工程量清单附件可能需要进入地方交易平台2.0系统下载；目前没有逐项中标综合单价，不可虚构。</t>
  </si>
  <si>
    <t>样本重要性</t>
  </si>
  <si>
    <t>所有具体项目来源URL在案例表O、P列，便于用户人工复核。</t>
  </si>
  <si>
    <t>后续检索方向</t>
  </si>
  <si>
    <t>希望提取的字段</t>
  </si>
  <si>
    <t>检索关键词/线索</t>
  </si>
  <si>
    <t>优先级</t>
  </si>
  <si>
    <t>完成状况</t>
  </si>
  <si>
    <t>杭州：非拆建综合旧改施工中标及招标控制价</t>
  </si>
  <si>
    <t>面积、楼栋、合同额、道路管网分项</t>
  </si>
  <si>
    <t>桐庐县2026老旧小区综合改造提升；西文小区；米市巷街道</t>
  </si>
  <si>
    <t>最高</t>
  </si>
  <si>
    <t>浙江统一招投标平台第三方转载已有线索，正式公告待核</t>
  </si>
  <si>
    <t>杭州：加装电梯专项施工</t>
  </si>
  <si>
    <t>单台综合造价、台数、管线迁移、维护</t>
  </si>
  <si>
    <t>既有住宅加装电梯施工中标结果</t>
  </si>
  <si>
    <t>未检索到成体系的专项工程量清单</t>
  </si>
  <si>
    <t>浙江：雨污分流专项合同</t>
  </si>
  <si>
    <t>长度、管径、施工价/清单综合单价</t>
  </si>
  <si>
    <t>老旧小区 雨污分流 工程量清单 中标</t>
  </si>
  <si>
    <t>高</t>
  </si>
  <si>
    <t>已有多条管网工程量，但分项价格缺</t>
  </si>
  <si>
    <t>浙江：屋面/立面修缮专项</t>
  </si>
  <si>
    <t>屋面㎡、墙面㎡、工法、合同价</t>
  </si>
  <si>
    <t>老旧小区 屋面修缮 外立面改造 中标</t>
  </si>
  <si>
    <t>缺少工程分项中标清单</t>
  </si>
  <si>
    <t>浙江：无障碍及公共空间专项</t>
  </si>
  <si>
    <t>坡道、扶手、铺装、绿化数量和中标价格</t>
  </si>
  <si>
    <t>旧改 无障碍 适老化 环境提升 中标</t>
  </si>
  <si>
    <t>中</t>
  </si>
  <si>
    <t>综合项目可作为范围级对比，不能替代工程量清单</t>
  </si>
  <si>
    <t>物业/公共设施增量运营</t>
  </si>
  <si>
    <t>维保费、设施服务面积、服务范围</t>
  </si>
  <si>
    <t>电梯维保 招标结果 养老服务场所运维</t>
  </si>
  <si>
    <t>建设交易记录通常没有10年运维费用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</si>
</sst>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FF"/>
      <name val="Carlito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8000"/>
      <name val="Carlito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3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6D5"/>
        <bgColor indexed="64"/>
      </patternFill>
    </fill>
    <fill>
      <patternFill patternType="solid">
        <fgColor rgb="FFE7F2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/>
    <xf numFmtId="0" fontId="0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176" fontId="2" fillId="3" borderId="0" xfId="49" applyNumberFormat="1" applyFont="1" applyFill="1" applyBorder="1" applyAlignment="1">
      <alignment wrapText="1"/>
    </xf>
    <xf numFmtId="176" fontId="2" fillId="4" borderId="0" xfId="49" applyNumberFormat="1" applyFont="1" applyFill="1" applyBorder="1" applyAlignment="1">
      <alignment wrapText="1"/>
    </xf>
    <xf numFmtId="0" fontId="3" fillId="3" borderId="0" xfId="6" applyNumberFormat="1" applyFont="1" applyFill="1" applyBorder="1" applyAlignment="1">
      <alignment wrapText="1"/>
    </xf>
    <xf numFmtId="0" fontId="4" fillId="3" borderId="0" xfId="6" applyNumberFormat="1" applyFill="1" applyBorder="1" applyAlignment="1">
      <alignment wrapText="1"/>
    </xf>
    <xf numFmtId="176" fontId="5" fillId="5" borderId="0" xfId="49" applyNumberFormat="1" applyFont="1" applyFill="1" applyBorder="1" applyAlignment="1">
      <alignment wrapText="1"/>
    </xf>
    <xf numFmtId="0" fontId="5" fillId="5" borderId="0" xfId="49" applyNumberFormat="1" applyFont="1" applyFill="1" applyBorder="1" applyAlignment="1">
      <alignment wrapText="1"/>
    </xf>
    <xf numFmtId="176" fontId="2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zjy.lssggzy.lishui.gov.cn/lsweb/jyxx/002001/002001008/20260826/bfb0b152-9abc-4f0b-a535-522a46168991.html" TargetMode="External"/><Relationship Id="rId1" Type="http://schemas.openxmlformats.org/officeDocument/2006/relationships/hyperlink" Target="https://dzjy.lssggzy.lishui.gov.cn/lsweb/jyxx/002001/002001003/20260729/b5062fd4-7696-406b-86ae-1ee009540d6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zoomScale="85" zoomScaleNormal="85" workbookViewId="0">
      <pane ySplit="1" topLeftCell="A2" activePane="bottomLeft" state="frozen"/>
      <selection/>
      <selection pane="bottomLeft" activeCell="P4" sqref="P4"/>
    </sheetView>
  </sheetViews>
  <sheetFormatPr defaultColWidth="9" defaultRowHeight="13.8" outlineLevelRow="7"/>
  <cols>
    <col min="1" max="1" width="12" customWidth="1"/>
    <col min="2" max="2" width="14" customWidth="1"/>
    <col min="3" max="3" width="51" customWidth="1"/>
    <col min="4" max="4" width="16" customWidth="1"/>
    <col min="5" max="5" width="31" customWidth="1"/>
    <col min="6" max="6" width="22" customWidth="1"/>
    <col min="7" max="8" width="19" customWidth="1"/>
    <col min="9" max="9" width="18" customWidth="1"/>
    <col min="10" max="13" width="22" customWidth="1"/>
    <col min="14" max="16" width="55" customWidth="1"/>
    <col min="17" max="17" width="59" customWidth="1"/>
    <col min="18" max="18" width="23" customWidth="1"/>
    <col min="19" max="19" width="29" customWidth="1"/>
  </cols>
  <sheetData>
    <row r="1" ht="32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56" customHeight="1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4">
        <v>92815</v>
      </c>
      <c r="H2" s="4">
        <v>32545</v>
      </c>
      <c r="I2" s="4">
        <v>11006</v>
      </c>
      <c r="J2" s="4">
        <v>2762.92</v>
      </c>
      <c r="K2" s="4">
        <v>2065.64</v>
      </c>
      <c r="L2" s="5">
        <v>18997007</v>
      </c>
      <c r="M2" s="5">
        <v>17333131</v>
      </c>
      <c r="N2" s="2" t="s">
        <v>25</v>
      </c>
      <c r="O2" s="6" t="s">
        <v>26</v>
      </c>
      <c r="P2" s="7" t="s">
        <v>27</v>
      </c>
      <c r="Q2" s="2" t="s">
        <v>28</v>
      </c>
      <c r="R2" s="8">
        <f t="shared" ref="R2:R8" si="0">IF(G2="","",IF(AND(F2="正式中标",M2&lt;&gt;""),M2/G2,IF(L2&lt;&gt;"",L2/G2,"")))</f>
        <v>186.74924311803</v>
      </c>
      <c r="S2" s="9" t="str">
        <f t="shared" ref="S2:S8" si="1">IF(R2="","不可折算",IF(F2="正式中标","中标价÷改造范围",IF(L2&lt;&gt;"","招标限价÷改造范围","不可折算")))</f>
        <v>中标价÷改造范围</v>
      </c>
    </row>
    <row r="3" ht="56" customHeight="1" spans="1:19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24</v>
      </c>
      <c r="G3" s="10"/>
      <c r="H3" s="10"/>
      <c r="I3" s="10"/>
      <c r="J3" s="10">
        <v>2699.25</v>
      </c>
      <c r="K3" s="10">
        <v>2353.59</v>
      </c>
      <c r="L3" s="5"/>
      <c r="M3" s="5">
        <v>15012681</v>
      </c>
      <c r="N3" s="3" t="s">
        <v>34</v>
      </c>
      <c r="O3" s="3" t="s">
        <v>35</v>
      </c>
      <c r="P3" s="3" t="s">
        <v>36</v>
      </c>
      <c r="Q3" s="3" t="s">
        <v>37</v>
      </c>
      <c r="R3" s="8" t="str">
        <f t="shared" si="0"/>
        <v/>
      </c>
      <c r="S3" s="9" t="str">
        <f t="shared" si="1"/>
        <v>不可折算</v>
      </c>
    </row>
    <row r="4" ht="56" customHeight="1" spans="1:19">
      <c r="A4" s="2" t="s">
        <v>38</v>
      </c>
      <c r="B4" s="2" t="s">
        <v>30</v>
      </c>
      <c r="C4" s="2" t="s">
        <v>39</v>
      </c>
      <c r="D4" s="2" t="s">
        <v>40</v>
      </c>
      <c r="E4" s="2" t="s">
        <v>41</v>
      </c>
      <c r="F4" s="2" t="s">
        <v>42</v>
      </c>
      <c r="G4" s="4"/>
      <c r="H4" s="4">
        <v>13477.831</v>
      </c>
      <c r="I4" s="4">
        <v>4138</v>
      </c>
      <c r="J4" s="4">
        <v>1200</v>
      </c>
      <c r="K4" s="4">
        <v>831.44</v>
      </c>
      <c r="L4" s="5">
        <v>8314400</v>
      </c>
      <c r="M4" s="5"/>
      <c r="N4" s="2" t="s">
        <v>43</v>
      </c>
      <c r="O4" s="2" t="s">
        <v>44</v>
      </c>
      <c r="P4" s="2"/>
      <c r="Q4" s="2" t="s">
        <v>45</v>
      </c>
      <c r="R4" s="8" t="str">
        <f t="shared" si="0"/>
        <v/>
      </c>
      <c r="S4" s="9" t="str">
        <f t="shared" si="1"/>
        <v>不可折算</v>
      </c>
    </row>
    <row r="5" ht="56" customHeight="1" spans="1:19">
      <c r="A5" s="3" t="s">
        <v>46</v>
      </c>
      <c r="B5" s="3" t="s">
        <v>20</v>
      </c>
      <c r="C5" s="3" t="s">
        <v>47</v>
      </c>
      <c r="D5" s="3" t="s">
        <v>48</v>
      </c>
      <c r="E5" s="3" t="s">
        <v>49</v>
      </c>
      <c r="F5" s="3" t="s">
        <v>50</v>
      </c>
      <c r="G5" s="10">
        <v>53021</v>
      </c>
      <c r="H5" s="10">
        <v>14408</v>
      </c>
      <c r="I5" s="10">
        <v>9092</v>
      </c>
      <c r="J5" s="10">
        <v>1432.27</v>
      </c>
      <c r="K5" s="10">
        <v>906.8</v>
      </c>
      <c r="L5" s="5">
        <v>7732717</v>
      </c>
      <c r="M5" s="5"/>
      <c r="N5" s="3" t="s">
        <v>51</v>
      </c>
      <c r="O5" s="3" t="s">
        <v>52</v>
      </c>
      <c r="P5" s="3"/>
      <c r="Q5" s="3" t="s">
        <v>53</v>
      </c>
      <c r="R5" s="8">
        <f t="shared" si="0"/>
        <v>145.842534090266</v>
      </c>
      <c r="S5" s="9" t="str">
        <f t="shared" si="1"/>
        <v>招标限价÷改造范围</v>
      </c>
    </row>
    <row r="6" ht="56" customHeight="1" spans="1:19">
      <c r="A6" s="2" t="s">
        <v>54</v>
      </c>
      <c r="B6" s="2" t="s">
        <v>20</v>
      </c>
      <c r="C6" s="2" t="s">
        <v>55</v>
      </c>
      <c r="D6" s="2" t="s">
        <v>56</v>
      </c>
      <c r="E6" s="2" t="s">
        <v>57</v>
      </c>
      <c r="F6" s="2" t="s">
        <v>50</v>
      </c>
      <c r="G6" s="4">
        <v>63381</v>
      </c>
      <c r="H6" s="4">
        <v>19490</v>
      </c>
      <c r="I6" s="4">
        <v>6230</v>
      </c>
      <c r="J6" s="4">
        <v>1512.0832</v>
      </c>
      <c r="K6" s="4">
        <v>1153.3164</v>
      </c>
      <c r="L6" s="5">
        <v>9667936</v>
      </c>
      <c r="M6" s="5"/>
      <c r="N6" s="2" t="s">
        <v>58</v>
      </c>
      <c r="O6" s="2" t="s">
        <v>59</v>
      </c>
      <c r="P6" s="2" t="s">
        <v>60</v>
      </c>
      <c r="Q6" s="2" t="s">
        <v>61</v>
      </c>
      <c r="R6" s="8">
        <f t="shared" si="0"/>
        <v>152.536817027185</v>
      </c>
      <c r="S6" s="9" t="str">
        <f t="shared" si="1"/>
        <v>招标限价÷改造范围</v>
      </c>
    </row>
    <row r="7" ht="56" customHeight="1" spans="1:19">
      <c r="A7" s="3" t="s">
        <v>62</v>
      </c>
      <c r="B7" s="3" t="s">
        <v>30</v>
      </c>
      <c r="C7" s="3" t="s">
        <v>63</v>
      </c>
      <c r="D7" s="3" t="s">
        <v>64</v>
      </c>
      <c r="E7" s="3" t="s">
        <v>65</v>
      </c>
      <c r="F7" s="3" t="s">
        <v>66</v>
      </c>
      <c r="G7" s="10">
        <v>35684</v>
      </c>
      <c r="H7" s="10"/>
      <c r="I7" s="10"/>
      <c r="J7" s="10"/>
      <c r="K7" s="10"/>
      <c r="L7" s="5">
        <v>11005241</v>
      </c>
      <c r="M7" s="5"/>
      <c r="N7" s="3" t="s">
        <v>67</v>
      </c>
      <c r="O7" s="3" t="s">
        <v>68</v>
      </c>
      <c r="P7" s="3"/>
      <c r="Q7" s="3" t="s">
        <v>69</v>
      </c>
      <c r="R7" s="8">
        <f t="shared" si="0"/>
        <v>308.40827821993</v>
      </c>
      <c r="S7" s="9" t="str">
        <f t="shared" si="1"/>
        <v>招标限价÷改造范围</v>
      </c>
    </row>
    <row r="8" ht="56" customHeight="1" spans="1:19">
      <c r="A8" s="2" t="s">
        <v>70</v>
      </c>
      <c r="B8" s="2" t="s">
        <v>30</v>
      </c>
      <c r="C8" s="2" t="s">
        <v>71</v>
      </c>
      <c r="D8" s="2" t="s">
        <v>72</v>
      </c>
      <c r="E8" s="2" t="s">
        <v>73</v>
      </c>
      <c r="F8" s="2" t="s">
        <v>74</v>
      </c>
      <c r="G8" s="4"/>
      <c r="H8" s="4"/>
      <c r="I8" s="4"/>
      <c r="J8" s="4"/>
      <c r="K8" s="4"/>
      <c r="L8" s="5"/>
      <c r="M8" s="5">
        <v>14972288</v>
      </c>
      <c r="N8" s="2" t="s">
        <v>75</v>
      </c>
      <c r="O8" s="2" t="s">
        <v>76</v>
      </c>
      <c r="P8" s="2" t="s">
        <v>77</v>
      </c>
      <c r="Q8" s="2" t="s">
        <v>78</v>
      </c>
      <c r="R8" s="8" t="str">
        <f t="shared" si="0"/>
        <v/>
      </c>
      <c r="S8" s="9" t="str">
        <f t="shared" si="1"/>
        <v>不可折算</v>
      </c>
    </row>
  </sheetData>
  <hyperlinks>
    <hyperlink ref="O2" r:id="rId1" display="https://dzjy.lssggzy.lishui.gov.cn/lsweb/jyxx/002001/002001003/20260729/b5062fd4-7696-406b-86ae-1ee009540d67.html"/>
    <hyperlink ref="P2" r:id="rId2" display="https://dzjy.lssggzy.lishui.gov.cn/lsweb/jyxx/002001/002001008/20260826/bfb0b152-9abc-4f0b-a535-522a46168991.htm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1"/>
  <cols>
    <col min="1" max="1" width="28" customWidth="1"/>
    <col min="2" max="2" width="112" customWidth="1"/>
  </cols>
  <sheetData>
    <row r="1" ht="32" customHeight="1" spans="1:2">
      <c r="A1" s="1" t="s">
        <v>79</v>
      </c>
      <c r="B1" s="1" t="s">
        <v>80</v>
      </c>
    </row>
    <row r="2" ht="38" customHeight="1" spans="1:2">
      <c r="A2" s="2" t="s">
        <v>81</v>
      </c>
      <c r="B2" s="2" t="s">
        <v>82</v>
      </c>
    </row>
    <row r="3" ht="38" customHeight="1" spans="1:2">
      <c r="A3" s="3" t="s">
        <v>83</v>
      </c>
      <c r="B3" s="3" t="s">
        <v>84</v>
      </c>
    </row>
    <row r="4" ht="38" customHeight="1" spans="1:2">
      <c r="A4" s="2" t="s">
        <v>85</v>
      </c>
      <c r="B4" s="2" t="s">
        <v>86</v>
      </c>
    </row>
    <row r="5" ht="38" customHeight="1" spans="1:2">
      <c r="A5" s="3" t="s">
        <v>87</v>
      </c>
      <c r="B5" s="3" t="s">
        <v>88</v>
      </c>
    </row>
    <row r="6" ht="38" customHeight="1" spans="1:2">
      <c r="A6" s="2" t="s">
        <v>89</v>
      </c>
      <c r="B6" s="2" t="s">
        <v>90</v>
      </c>
    </row>
    <row r="7" ht="38" customHeight="1" spans="1:2">
      <c r="A7" s="3" t="s">
        <v>91</v>
      </c>
      <c r="B7" s="3" t="s">
        <v>92</v>
      </c>
    </row>
    <row r="8" ht="38" customHeight="1" spans="1:2">
      <c r="A8" s="2" t="s">
        <v>93</v>
      </c>
      <c r="B8" s="2" t="s">
        <v>94</v>
      </c>
    </row>
    <row r="9" ht="38" customHeight="1" spans="1:2">
      <c r="A9" s="3" t="s">
        <v>95</v>
      </c>
      <c r="B9" s="3" t="s">
        <v>96</v>
      </c>
    </row>
    <row r="10" ht="38" customHeight="1" spans="1:2">
      <c r="A10" s="2" t="s">
        <v>97</v>
      </c>
      <c r="B10" s="2" t="s">
        <v>98</v>
      </c>
    </row>
    <row r="11" ht="38" customHeight="1" spans="1:2">
      <c r="A11" s="3" t="s">
        <v>99</v>
      </c>
      <c r="B11" s="3" t="s">
        <v>100</v>
      </c>
    </row>
    <row r="12" ht="38" customHeight="1" spans="1:2">
      <c r="A12" s="2" t="s">
        <v>101</v>
      </c>
      <c r="B12" s="2" t="s">
        <v>102</v>
      </c>
    </row>
    <row r="13" ht="38" customHeight="1" spans="1:2">
      <c r="A13" s="3" t="s">
        <v>103</v>
      </c>
      <c r="B13" s="3" t="s">
        <v>104</v>
      </c>
    </row>
    <row r="14" ht="38" customHeight="1" spans="1:2">
      <c r="A14" s="2" t="s">
        <v>105</v>
      </c>
      <c r="B14" s="2" t="s">
        <v>106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Row="6" outlineLevelCol="4"/>
  <cols>
    <col min="1" max="1" width="36" customWidth="1"/>
    <col min="2" max="2" width="43" customWidth="1"/>
    <col min="3" max="3" width="52" customWidth="1"/>
    <col min="4" max="4" width="13" customWidth="1"/>
    <col min="5" max="5" width="45" customWidth="1"/>
  </cols>
  <sheetData>
    <row r="1" ht="32" customHeight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ht="38" customHeight="1" spans="1: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</row>
    <row r="3" ht="38" customHeight="1" spans="1:5">
      <c r="A3" s="3" t="s">
        <v>117</v>
      </c>
      <c r="B3" s="3" t="s">
        <v>118</v>
      </c>
      <c r="C3" s="3" t="s">
        <v>119</v>
      </c>
      <c r="D3" s="3" t="s">
        <v>115</v>
      </c>
      <c r="E3" s="3" t="s">
        <v>120</v>
      </c>
    </row>
    <row r="4" ht="38" customHeight="1" spans="1:5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</row>
    <row r="5" ht="38" customHeight="1" spans="1:5">
      <c r="A5" s="3" t="s">
        <v>126</v>
      </c>
      <c r="B5" s="3" t="s">
        <v>127</v>
      </c>
      <c r="C5" s="3" t="s">
        <v>128</v>
      </c>
      <c r="D5" s="3" t="s">
        <v>124</v>
      </c>
      <c r="E5" s="3" t="s">
        <v>129</v>
      </c>
    </row>
    <row r="6" ht="38" customHeight="1" spans="1:5">
      <c r="A6" s="2" t="s">
        <v>130</v>
      </c>
      <c r="B6" s="2" t="s">
        <v>131</v>
      </c>
      <c r="C6" s="2" t="s">
        <v>132</v>
      </c>
      <c r="D6" s="2" t="s">
        <v>133</v>
      </c>
      <c r="E6" s="2" t="s">
        <v>134</v>
      </c>
    </row>
    <row r="7" ht="38" customHeight="1" spans="1:5">
      <c r="A7" s="3" t="s">
        <v>135</v>
      </c>
      <c r="B7" s="3" t="s">
        <v>136</v>
      </c>
      <c r="C7" s="3" t="s">
        <v>137</v>
      </c>
      <c r="D7" s="3" t="s">
        <v>124</v>
      </c>
      <c r="E7" s="3" t="s">
        <v>138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官方工程案例</vt:lpstr>
      <vt:lpstr>使用说明</vt:lpstr>
      <vt:lpstr>待补充清单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周奕彤</cp:lastModifiedBy>
  <dcterms:created xsi:type="dcterms:W3CDTF">2026-10-13T05:12:05Z</dcterms:created>
  <dcterms:modified xsi:type="dcterms:W3CDTF">2026-10-13T05:16:20Z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03996E5C46564D24873DA729DEDF45C0_12</vt:lpwstr>
  </property>
  <property fmtid="{D5CDD505-2E9C-101B-9397-08002B2CF9AE}" pid="3" name="KSOProductBuildVer">
    <vt:lpwstr>2052-12.1.0.23542</vt:lpwstr>
  </property>
</Properties>
</file>